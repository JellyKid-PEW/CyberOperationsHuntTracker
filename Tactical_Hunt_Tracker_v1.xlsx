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_Intake" sheetId="1" state="visible" r:id="rId1"/>
    <sheet xmlns:r="http://schemas.openxmlformats.org/officeDocument/2006/relationships" name="Terrain_Discovery" sheetId="2" state="visible" r:id="rId2"/>
    <sheet xmlns:r="http://schemas.openxmlformats.org/officeDocument/2006/relationships" name="Visibility_Matrix" sheetId="3" state="visible" r:id="rId3"/>
    <sheet xmlns:r="http://schemas.openxmlformats.org/officeDocument/2006/relationships" name="Hunt_Lines" sheetId="4" state="visible" r:id="rId4"/>
    <sheet xmlns:r="http://schemas.openxmlformats.org/officeDocument/2006/relationships" name="Events_Timeline" sheetId="5" state="visible" r:id="rId5"/>
    <sheet xmlns:r="http://schemas.openxmlformats.org/officeDocument/2006/relationships" name="Findings_Effects" sheetId="6" state="visible" r:id="rId6"/>
    <sheet xmlns:r="http://schemas.openxmlformats.org/officeDocument/2006/relationships" name="Metrics_Dashboard" sheetId="7" state="visible" r:id="rId7"/>
    <sheet xmlns:r="http://schemas.openxmlformats.org/officeDocument/2006/relationships" name="SOP_Reference" sheetId="8" state="visible" r:id="rId8"/>
    <sheet xmlns:r="http://schemas.openxmlformats.org/officeDocument/2006/relationships" name="DV_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30" customWidth="1" min="4" max="4"/>
    <col width="16" customWidth="1" min="5" max="5"/>
    <col width="15" customWidth="1" min="6" max="6"/>
    <col width="25" customWidth="1" min="7" max="7"/>
    <col width="21" customWidth="1" min="8" max="8"/>
    <col width="25" customWidth="1" min="9" max="9"/>
    <col width="27" customWidth="1" min="10" max="10"/>
    <col width="25" customWidth="1" min="11" max="11"/>
    <col width="15" customWidth="1" min="12" max="12"/>
    <col width="15" customWidth="1" min="13" max="13"/>
    <col width="16" customWidth="1" min="14" max="14"/>
    <col width="21" customWidth="1" min="15" max="15"/>
    <col width="29" customWidth="1" min="16" max="16"/>
    <col width="23" customWidth="1" min="17" max="17"/>
    <col width="26" customWidth="1" min="18" max="18"/>
    <col width="26" customWidth="1" min="19" max="19"/>
    <col width="24" customWidth="1" min="20" max="20"/>
    <col width="16" customWidth="1" min="21" max="21"/>
    <col width="25" customWidth="1" min="22" max="22"/>
    <col width="19" customWidth="1" min="23" max="23"/>
    <col width="22" customWidth="1" min="24" max="24"/>
    <col width="22" customWidth="1" min="25" max="25"/>
    <col width="20" customWidth="1" min="26" max="26"/>
    <col width="24" customWidth="1" min="27" max="27"/>
    <col width="20" customWidth="1" min="28" max="28"/>
    <col width="25" customWidth="1" min="29" max="29"/>
    <col width="22" customWidth="1" min="30" max="30"/>
  </cols>
  <sheetData>
    <row r="1">
      <c r="A1" s="1" t="inlineStr">
        <is>
          <t>Mission_ID</t>
        </is>
      </c>
      <c r="B1" s="1" t="inlineStr">
        <is>
          <t>Mission_Name</t>
        </is>
      </c>
      <c r="C1" s="1" t="inlineStr">
        <is>
          <t>Supported_Command</t>
        </is>
      </c>
      <c r="D1" s="1" t="inlineStr">
        <is>
          <t>Supported_Unit_Network_Owner</t>
        </is>
      </c>
      <c r="E1" s="1" t="inlineStr">
        <is>
          <t>Tasking_Source</t>
        </is>
      </c>
      <c r="F1" s="1" t="inlineStr">
        <is>
          <t>Tasking_Type</t>
        </is>
      </c>
      <c r="G1" s="1" t="inlineStr">
        <is>
          <t>Mission_Category_JP3_12</t>
        </is>
      </c>
      <c r="H1" s="1" t="inlineStr">
        <is>
          <t>Authority_Reference</t>
        </is>
      </c>
      <c r="I1" s="1" t="inlineStr">
        <is>
          <t>Legal_Constraints_Notes</t>
        </is>
      </c>
      <c r="J1" s="1" t="inlineStr">
        <is>
          <t>Network_Scope_Description</t>
        </is>
      </c>
      <c r="K1" s="1" t="inlineStr">
        <is>
          <t>Operational_Constraints</t>
        </is>
      </c>
      <c r="L1" s="1" t="inlineStr">
        <is>
          <t>CCIR_Received</t>
        </is>
      </c>
      <c r="M1" s="1" t="inlineStr">
        <is>
          <t>CCIR_Text</t>
        </is>
      </c>
      <c r="N1" s="1" t="inlineStr">
        <is>
          <t>LTIOV_DateTime</t>
        </is>
      </c>
      <c r="O1" s="1" t="inlineStr">
        <is>
          <t>Intel_Cueing_Source</t>
        </is>
      </c>
      <c r="P1" s="1" t="inlineStr">
        <is>
          <t>Threat_Focus_Name_or_Family</t>
        </is>
      </c>
      <c r="Q1" s="1" t="inlineStr">
        <is>
          <t>Primary_ATTCK_Tactics</t>
        </is>
      </c>
      <c r="R1" s="1" t="inlineStr">
        <is>
          <t>Primary_ATTCK_Techniques</t>
        </is>
      </c>
      <c r="S1" s="1" t="inlineStr">
        <is>
          <t>Mission_Purpose_Expanded</t>
        </is>
      </c>
      <c r="T1" s="1" t="inlineStr">
        <is>
          <t>Expected_Duration_Days</t>
        </is>
      </c>
      <c r="U1" s="1" t="inlineStr">
        <is>
          <t>Teams_Assigned</t>
        </is>
      </c>
      <c r="V1" s="1" t="inlineStr">
        <is>
          <t>Mission_Commander_Or_TL</t>
        </is>
      </c>
      <c r="W1" s="1" t="inlineStr">
        <is>
          <t>Reporting_Cadence</t>
        </is>
      </c>
      <c r="X1" s="1" t="inlineStr">
        <is>
          <t>Classification_Level</t>
        </is>
      </c>
      <c r="Y1" s="1" t="inlineStr">
        <is>
          <t>Tasking_Source_Other</t>
        </is>
      </c>
      <c r="Z1" s="1" t="inlineStr">
        <is>
          <t>Tasking_Type_Other</t>
        </is>
      </c>
      <c r="AA1" s="1" t="inlineStr">
        <is>
          <t>Mission_Category_Other</t>
        </is>
      </c>
      <c r="AB1" s="1" t="inlineStr">
        <is>
          <t>Intel_Cueing_Other</t>
        </is>
      </c>
      <c r="AC1" s="1" t="inlineStr">
        <is>
          <t>Reporting_Cadence_Other</t>
        </is>
      </c>
      <c r="AD1" s="1" t="inlineStr">
        <is>
          <t>Classification_Other</t>
        </is>
      </c>
    </row>
  </sheetData>
  <dataValidations count="9">
    <dataValidation sqref="C2:C500" showErrorMessage="1" showInputMessage="1" allowBlank="1" type="list">
      <formula1>'DV_Lists'!$C$2:$C$50</formula1>
    </dataValidation>
    <dataValidation sqref="C2:C500" showErrorMessage="1" showInputMessage="1" allowBlank="1" type="list">
      <formula1>'DV_Lists'!$B$2:$B$50</formula1>
    </dataValidation>
    <dataValidation sqref="E2:E500" showErrorMessage="1" showInputMessage="1" allowBlank="1" type="list">
      <formula1>'DV_Lists'!$C$2:$C$50</formula1>
    </dataValidation>
    <dataValidation sqref="F2:F500" showErrorMessage="1" showInputMessage="1" allowBlank="1" type="list">
      <formula1>'DV_Lists'!$D$2:$D$50</formula1>
    </dataValidation>
    <dataValidation sqref="G2:G500" showErrorMessage="1" showInputMessage="1" allowBlank="1" type="list">
      <formula1>'DV_Lists'!$E$2:$E$50</formula1>
    </dataValidation>
    <dataValidation sqref="O2:O500" showErrorMessage="1" showInputMessage="1" allowBlank="1" type="list">
      <formula1>'DV_Lists'!$C$2:$C$50</formula1>
    </dataValidation>
    <dataValidation sqref="W2:W500" showErrorMessage="1" showInputMessage="1" allowBlank="1" type="list">
      <formula1>'DV_Lists'!$X$2:$X$50</formula1>
    </dataValidation>
    <dataValidation sqref="X2:X500" showErrorMessage="1" showInputMessage="1" allowBlank="1" type="list">
      <formula1>'DV_Lists'!$Y$2:$Y$50</formula1>
    </dataValidation>
    <dataValidation sqref="L2:L500" showErrorMessage="1" showInputMessage="1" allowBlank="1" type="list">
      <formula1>'DV_Lists'!$W$2:$W$50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15" customWidth="1" min="4" max="4"/>
    <col width="20" customWidth="1" min="5" max="5"/>
    <col width="28" customWidth="1" min="6" max="6"/>
    <col width="35" customWidth="1" min="7" max="7"/>
    <col width="37" customWidth="1" min="8" max="8"/>
    <col width="15" customWidth="1" min="9" max="9"/>
    <col width="26" customWidth="1" min="10" max="10"/>
    <col width="37" customWidth="1" min="11" max="11"/>
    <col width="27" customWidth="1" min="12" max="12"/>
    <col width="29" customWidth="1" min="13" max="13"/>
    <col width="20" customWidth="1" min="14" max="14"/>
    <col width="25" customWidth="1" min="15" max="15"/>
    <col width="19" customWidth="1" min="16" max="16"/>
    <col width="30" customWidth="1" min="17" max="17"/>
    <col width="26" customWidth="1" min="18" max="18"/>
    <col width="21" customWidth="1" min="19" max="19"/>
  </cols>
  <sheetData>
    <row r="1">
      <c r="A1" s="1" t="inlineStr">
        <is>
          <t>Mission_ID</t>
        </is>
      </c>
      <c r="B1" s="1" t="inlineStr">
        <is>
          <t>Terrain_Record_ID</t>
        </is>
      </c>
      <c r="C1" s="1" t="inlineStr">
        <is>
          <t>System_or_Terrain_Name</t>
        </is>
      </c>
      <c r="D1" s="1" t="inlineStr">
        <is>
          <t>Terrain_Layer</t>
        </is>
      </c>
      <c r="E1" s="1" t="inlineStr">
        <is>
          <t>Terrain_Type_MRT_C</t>
        </is>
      </c>
      <c r="F1" s="1" t="inlineStr">
        <is>
          <t>Function_in_Mission_Thread</t>
        </is>
      </c>
      <c r="G1" s="1" t="inlineStr">
        <is>
          <t>Criticality_to_Mission_Score_1to5</t>
        </is>
      </c>
      <c r="H1" s="1" t="inlineStr">
        <is>
          <t>Known_to_Customer_Before_Engagement</t>
        </is>
      </c>
      <c r="I1" s="1" t="inlineStr">
        <is>
          <t>Access_Type</t>
        </is>
      </c>
      <c r="J1" s="1" t="inlineStr">
        <is>
          <t>User_and_Privilege_Notes</t>
        </is>
      </c>
      <c r="K1" s="1" t="inlineStr">
        <is>
          <t>Cross_Domain_or_External_Dependency</t>
        </is>
      </c>
      <c r="L1" s="1" t="inlineStr">
        <is>
          <t>Security_Posture_Observed</t>
        </is>
      </c>
      <c r="M1" s="1" t="inlineStr">
        <is>
          <t>Security_Posture_Score_1to5</t>
        </is>
      </c>
      <c r="N1" s="1" t="inlineStr">
        <is>
          <t>Terrain_Risk_Notes</t>
        </is>
      </c>
      <c r="O1" s="1" t="inlineStr">
        <is>
          <t>Terrain_Risk_Score_1to5</t>
        </is>
      </c>
      <c r="P1" s="1" t="inlineStr">
        <is>
          <t>Evidence_Log_Link</t>
        </is>
      </c>
      <c r="Q1" s="1" t="inlineStr">
        <is>
          <t>Evidence_Diagram_or_Map_Link</t>
        </is>
      </c>
      <c r="R1" s="1" t="inlineStr">
        <is>
          <t>Evidence_Screenshot_Link</t>
        </is>
      </c>
      <c r="S1" s="1" t="inlineStr">
        <is>
          <t>Evidence_Other_Link</t>
        </is>
      </c>
    </row>
  </sheetData>
  <conditionalFormatting sqref="G2:G500">
    <cfRule type="colorScale" priority="1">
      <colorScale>
        <cfvo type="num" val="1"/>
        <cfvo type="num" val="3"/>
        <cfvo type="num" val="5"/>
      </colorScale>
    </cfRule>
  </conditionalFormatting>
  <conditionalFormatting sqref="M2:M500">
    <cfRule type="colorScale" priority="2">
      <colorScale>
        <cfvo type="num" val="1"/>
        <cfvo type="num" val="3"/>
        <cfvo type="num" val="5"/>
      </colorScale>
    </cfRule>
  </conditionalFormatting>
  <conditionalFormatting sqref="O2:O500">
    <cfRule type="colorScale" priority="3">
      <colorScale>
        <cfvo type="num" val="1"/>
        <cfvo type="num" val="3"/>
        <cfvo type="num" val="5"/>
      </colorScale>
    </cfRule>
  </conditionalFormatting>
  <dataValidations count="6">
    <dataValidation sqref="D2:D500" showErrorMessage="1" showInputMessage="1" allowBlank="1" type="list">
      <formula1>'DV_Lists'!$F$2:$F$50</formula1>
    </dataValidation>
    <dataValidation sqref="E2:E500" showErrorMessage="1" showInputMessage="1" allowBlank="1" type="list">
      <formula1>'DV_Lists'!$G$2:$G$50</formula1>
    </dataValidation>
    <dataValidation sqref="H2:H500" showErrorMessage="1" showInputMessage="1" allowBlank="1" type="list">
      <formula1>'DV_Lists'!$H$2:$H$50</formula1>
    </dataValidation>
    <dataValidation sqref="I2:I500" showErrorMessage="1" showInputMessage="1" allowBlank="1" type="list">
      <formula1>'DV_Lists'!$I$2:$I$50</formula1>
    </dataValidation>
    <dataValidation sqref="K2:K500" showErrorMessage="1" showInputMessage="1" allowBlank="1" type="list">
      <formula1>'DV_Lists'!$J$2:$J$50</formula1>
    </dataValidation>
    <dataValidation sqref="L2:L500" showErrorMessage="1" showInputMessage="1" allowBlank="1" type="list">
      <formula1>'DV_Lists'!$L$2:$L$50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7" customWidth="1" min="4" max="4"/>
    <col width="22" customWidth="1" min="5" max="5"/>
    <col width="23" customWidth="1" min="6" max="6"/>
    <col width="21" customWidth="1" min="7" max="7"/>
    <col width="32" customWidth="1" min="8" max="8"/>
    <col width="16" customWidth="1" min="9" max="9"/>
    <col width="21" customWidth="1" min="10" max="10"/>
    <col width="21" customWidth="1" min="11" max="11"/>
    <col width="26" customWidth="1" min="12" max="12"/>
    <col width="31" customWidth="1" min="13" max="13"/>
    <col width="28" customWidth="1" min="14" max="14"/>
    <col width="38" customWidth="1" min="15" max="15"/>
    <col width="19" customWidth="1" min="16" max="16"/>
    <col width="26" customWidth="1" min="17" max="17"/>
    <col width="21" customWidth="1" min="18" max="18"/>
  </cols>
  <sheetData>
    <row r="1">
      <c r="A1" s="1" t="inlineStr">
        <is>
          <t>Mission_ID</t>
        </is>
      </c>
      <c r="B1" s="1" t="inlineStr">
        <is>
          <t>Visibility_Record_ID</t>
        </is>
      </c>
      <c r="C1" s="1" t="inlineStr">
        <is>
          <t>ATTCK_Tactic</t>
        </is>
      </c>
      <c r="D1" s="1" t="inlineStr">
        <is>
          <t>ATTCK_Technique</t>
        </is>
      </c>
      <c r="E1" s="1" t="inlineStr">
        <is>
          <t>Required_Data_Source</t>
        </is>
      </c>
      <c r="F1" s="1" t="inlineStr">
        <is>
          <t>Data_Source_Available</t>
        </is>
      </c>
      <c r="G1" s="1" t="inlineStr">
        <is>
          <t>Data_Source_Quality</t>
        </is>
      </c>
      <c r="H1" s="1" t="inlineStr">
        <is>
          <t>Data_Source_Quality_Score_1to5</t>
        </is>
      </c>
      <c r="I1" s="1" t="inlineStr">
        <is>
          <t>Coverage_Scope</t>
        </is>
      </c>
      <c r="J1" s="1" t="inlineStr">
        <is>
          <t>Coverage_Score_1to5</t>
        </is>
      </c>
      <c r="K1" s="1" t="inlineStr">
        <is>
          <t>Access_Restrictions</t>
        </is>
      </c>
      <c r="L1" s="1" t="inlineStr">
        <is>
          <t>Access_Impact_Score_1to5</t>
        </is>
      </c>
      <c r="M1" s="1" t="inlineStr">
        <is>
          <t>Visibility_Overall_Score_1to5</t>
        </is>
      </c>
      <c r="N1" s="1" t="inlineStr">
        <is>
          <t>Visibility_Assessment_Text</t>
        </is>
      </c>
      <c r="O1" s="1" t="inlineStr">
        <is>
          <t>Immediate_Visibility_Recommendations</t>
        </is>
      </c>
      <c r="P1" s="1" t="inlineStr">
        <is>
          <t>Evidence_Log_Link</t>
        </is>
      </c>
      <c r="Q1" s="1" t="inlineStr">
        <is>
          <t>Evidence_Screenshot_Link</t>
        </is>
      </c>
      <c r="R1" s="1" t="inlineStr">
        <is>
          <t>Evidence_Other_Link</t>
        </is>
      </c>
    </row>
    <row r="2">
      <c r="M2">
        <f>ROUND(AVERAGE(H2,J2,L2),0)</f>
        <v/>
      </c>
    </row>
  </sheetData>
  <conditionalFormatting sqref="H2:H500">
    <cfRule type="colorScale" priority="1">
      <colorScale>
        <cfvo type="num" val="1"/>
        <cfvo type="num" val="3"/>
        <cfvo type="num" val="5"/>
      </colorScale>
    </cfRule>
  </conditionalFormatting>
  <conditionalFormatting sqref="J2:J500">
    <cfRule type="colorScale" priority="2">
      <colorScale>
        <cfvo type="num" val="1"/>
        <cfvo type="num" val="3"/>
        <cfvo type="num" val="5"/>
      </colorScale>
    </cfRule>
  </conditionalFormatting>
  <conditionalFormatting sqref="L2:L500">
    <cfRule type="colorScale" priority="3">
      <colorScale>
        <cfvo type="num" val="1"/>
        <cfvo type="num" val="3"/>
        <cfvo type="num" val="5"/>
      </colorScale>
    </cfRule>
  </conditionalFormatting>
  <conditionalFormatting sqref="M2:M500">
    <cfRule type="colorScale" priority="4">
      <colorScale>
        <cfvo type="num" val="1"/>
        <cfvo type="num" val="3"/>
        <cfvo type="num" val="5"/>
      </colorScale>
    </cfRule>
  </conditionalFormatting>
  <dataValidations count="5">
    <dataValidation sqref="E2:E500" showErrorMessage="1" showInputMessage="1" allowBlank="1" type="list">
      <formula1>'DV_Lists'!$I$2:$I$50</formula1>
    </dataValidation>
    <dataValidation sqref="F2:F500" showErrorMessage="1" showInputMessage="1" allowBlank="1" type="list">
      <formula1>'DV_Lists'!$K$2:$K$50</formula1>
    </dataValidation>
    <dataValidation sqref="G2:G500" showErrorMessage="1" showInputMessage="1" allowBlank="1" type="list">
      <formula1>'DV_Lists'!$L$2:$L$50</formula1>
    </dataValidation>
    <dataValidation sqref="I2:I500" showErrorMessage="1" showInputMessage="1" allowBlank="1" type="list">
      <formula1>'DV_Lists'!$M$2:$M$50</formula1>
    </dataValidation>
    <dataValidation sqref="K2:K500" showErrorMessage="1" showInputMessage="1" allowBlank="1" type="list">
      <formula1>'DV_Lists'!$N$2:$N$50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7" customWidth="1" min="4" max="4"/>
    <col width="15" customWidth="1" min="5" max="5"/>
    <col width="18" customWidth="1" min="6" max="6"/>
    <col width="15" customWidth="1" min="7" max="7"/>
    <col width="15" customWidth="1" min="8" max="8"/>
    <col width="22" customWidth="1" min="9" max="9"/>
    <col width="15" customWidth="1" min="10" max="10"/>
    <col width="19" customWidth="1" min="11" max="11"/>
    <col width="16" customWidth="1" min="12" max="12"/>
    <col width="15" customWidth="1" min="13" max="13"/>
    <col width="18" customWidth="1" min="14" max="14"/>
    <col width="27" customWidth="1" min="15" max="15"/>
    <col width="26" customWidth="1" min="16" max="16"/>
    <col width="28" customWidth="1" min="17" max="17"/>
    <col width="15" customWidth="1" min="18" max="18"/>
    <col width="15" customWidth="1" min="19" max="19"/>
    <col width="19" customWidth="1" min="20" max="20"/>
    <col width="26" customWidth="1" min="21" max="21"/>
    <col width="32" customWidth="1" min="22" max="22"/>
    <col width="21" customWidth="1" min="23" max="23"/>
  </cols>
  <sheetData>
    <row r="1">
      <c r="A1" s="1" t="inlineStr">
        <is>
          <t>Mission_ID</t>
        </is>
      </c>
      <c r="B1" s="1" t="inlineStr">
        <is>
          <t>Hunt_Line_ID</t>
        </is>
      </c>
      <c r="C1" s="1" t="inlineStr">
        <is>
          <t>Hunt_Line_Title</t>
        </is>
      </c>
      <c r="D1" s="1" t="inlineStr">
        <is>
          <t>Hypothesis_Text</t>
        </is>
      </c>
      <c r="E1" s="1" t="inlineStr">
        <is>
          <t>ATTCK_Tactics</t>
        </is>
      </c>
      <c r="F1" s="1" t="inlineStr">
        <is>
          <t>ATTCK_Techniques</t>
        </is>
      </c>
      <c r="G1" s="1" t="inlineStr">
        <is>
          <t>Recon_Type</t>
        </is>
      </c>
      <c r="H1" s="1" t="inlineStr">
        <is>
          <t>Hunt_Mode</t>
        </is>
      </c>
      <c r="I1" s="1" t="inlineStr">
        <is>
          <t>Primary_Data_Sources</t>
        </is>
      </c>
      <c r="J1" s="1" t="inlineStr">
        <is>
          <t>Tools_Used</t>
        </is>
      </c>
      <c r="K1" s="1" t="inlineStr">
        <is>
          <t>Layer_of_Activity</t>
        </is>
      </c>
      <c r="L1" s="1" t="inlineStr">
        <is>
          <t>Start_DateTime</t>
        </is>
      </c>
      <c r="M1" s="1" t="inlineStr">
        <is>
          <t>End_DateTime</t>
        </is>
      </c>
      <c r="N1" s="1" t="inlineStr">
        <is>
          <t>Hunt_Line_Status</t>
        </is>
      </c>
      <c r="O1" s="1" t="inlineStr">
        <is>
          <t>Suspicious_Activity_Found</t>
        </is>
      </c>
      <c r="P1" s="1" t="inlineStr">
        <is>
          <t>Hunt_Line_MOP_Score_1to5</t>
        </is>
      </c>
      <c r="Q1" s="1" t="inlineStr">
        <is>
          <t>Hunt_Line_Findings_Summary</t>
        </is>
      </c>
      <c r="R1" s="1" t="inlineStr">
        <is>
          <t>Analyst_Lead</t>
        </is>
      </c>
      <c r="S1" s="1" t="inlineStr">
        <is>
          <t>Reviewer_QC</t>
        </is>
      </c>
      <c r="T1" s="1" t="inlineStr">
        <is>
          <t>Evidence_Log_Link</t>
        </is>
      </c>
      <c r="U1" s="1" t="inlineStr">
        <is>
          <t>Evidence_Screenshot_Link</t>
        </is>
      </c>
      <c r="V1" s="1" t="inlineStr">
        <is>
          <t>Evidence_PCAP_or_Artifact_Link</t>
        </is>
      </c>
      <c r="W1" s="1" t="inlineStr">
        <is>
          <t>Evidence_Other_Link</t>
        </is>
      </c>
    </row>
  </sheetData>
  <dataValidations count="3">
    <dataValidation sqref="G2:G500" showErrorMessage="1" showInputMessage="1" allowBlank="1" type="list">
      <formula1>'DV_Lists'!$P$2:$P$50</formula1>
    </dataValidation>
    <dataValidation sqref="H2:H500" showErrorMessage="1" showInputMessage="1" allowBlank="1" type="list">
      <formula1>'DV_Lists'!$O$2:$O$50</formula1>
    </dataValidation>
    <dataValidation sqref="K2:K500" showErrorMessage="1" showInputMessage="1" allowBlank="1" type="list">
      <formula1>'DV_Lists'!$F$2:$F$50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1" customWidth="1" min="5" max="5"/>
    <col width="15" customWidth="1" min="6" max="6"/>
    <col width="19" customWidth="1" min="7" max="7"/>
    <col width="17" customWidth="1" min="8" max="8"/>
    <col width="15" customWidth="1" min="9" max="9"/>
    <col width="15" customWidth="1" min="10" max="10"/>
    <col width="26" customWidth="1" min="11" max="11"/>
    <col width="19" customWidth="1" min="12" max="12"/>
    <col width="17" customWidth="1" min="13" max="13"/>
    <col width="19" customWidth="1" min="14" max="14"/>
    <col width="15" customWidth="1" min="15" max="15"/>
    <col width="27" customWidth="1" min="16" max="16"/>
    <col width="25" customWidth="1" min="17" max="17"/>
    <col width="19" customWidth="1" min="18" max="18"/>
    <col width="26" customWidth="1" min="19" max="19"/>
    <col width="32" customWidth="1" min="20" max="20"/>
    <col width="21" customWidth="1" min="21" max="21"/>
    <col width="15" customWidth="1" min="22" max="22"/>
  </cols>
  <sheetData>
    <row r="1">
      <c r="A1" s="1" t="inlineStr">
        <is>
          <t>Mission_ID</t>
        </is>
      </c>
      <c r="B1" s="1" t="inlineStr">
        <is>
          <t>Event_ID</t>
        </is>
      </c>
      <c r="C1" s="1" t="inlineStr">
        <is>
          <t>Hunt_Line_ID</t>
        </is>
      </c>
      <c r="D1" s="1" t="inlineStr">
        <is>
          <t>Event_Timestamp_Log</t>
        </is>
      </c>
      <c r="E1" s="1" t="inlineStr">
        <is>
          <t>Detection_Timestamp</t>
        </is>
      </c>
      <c r="F1" s="1" t="inlineStr">
        <is>
          <t>Event_Type</t>
        </is>
      </c>
      <c r="G1" s="1" t="inlineStr">
        <is>
          <t>Event_Description</t>
        </is>
      </c>
      <c r="H1" s="1" t="inlineStr">
        <is>
          <t>User_or_Account</t>
        </is>
      </c>
      <c r="I1" s="1" t="inlineStr">
        <is>
          <t>Host_or_Asset</t>
        </is>
      </c>
      <c r="J1" s="1" t="inlineStr">
        <is>
          <t>Source_IP</t>
        </is>
      </c>
      <c r="K1" s="1" t="inlineStr">
        <is>
          <t>Destination_IP_or_Domain</t>
        </is>
      </c>
      <c r="L1" s="1" t="inlineStr">
        <is>
          <t>File_Path_or_Hash</t>
        </is>
      </c>
      <c r="M1" s="1" t="inlineStr">
        <is>
          <t>ATTCK_Technique</t>
        </is>
      </c>
      <c r="N1" s="1" t="inlineStr">
        <is>
          <t>Layer_of_Activity</t>
        </is>
      </c>
      <c r="O1" s="1" t="inlineStr">
        <is>
          <t>Disposition</t>
        </is>
      </c>
      <c r="P1" s="1" t="inlineStr">
        <is>
          <t>Event_Severity_Score_1to5</t>
        </is>
      </c>
      <c r="Q1" s="1" t="inlineStr">
        <is>
          <t>Detection_Delay_Minutes</t>
        </is>
      </c>
      <c r="R1" s="1" t="inlineStr">
        <is>
          <t>Evidence_Log_Link</t>
        </is>
      </c>
      <c r="S1" s="1" t="inlineStr">
        <is>
          <t>Evidence_Screenshot_Link</t>
        </is>
      </c>
      <c r="T1" s="1" t="inlineStr">
        <is>
          <t>Evidence_PCAP_or_Artifact_Link</t>
        </is>
      </c>
      <c r="U1" s="1" t="inlineStr">
        <is>
          <t>Evidence_Other_Link</t>
        </is>
      </c>
      <c r="V1" s="1" t="inlineStr">
        <is>
          <t>Analyst_Notes</t>
        </is>
      </c>
    </row>
    <row r="2">
      <c r="Q2">
        <f>IF(AND(E2&lt;&gt;"",D2&lt;&gt;""),(E2-D2)*1440,"")</f>
        <v/>
      </c>
    </row>
  </sheetData>
  <conditionalFormatting sqref="P2:P500">
    <cfRule type="colorScale" priority="1">
      <colorScale>
        <cfvo type="num" val="1"/>
        <cfvo type="num" val="3"/>
        <cfvo type="num" val="5"/>
      </colorScale>
    </cfRule>
  </conditionalFormatting>
  <dataValidations count="3">
    <dataValidation sqref="F2:F500" showErrorMessage="1" showInputMessage="1" allowBlank="1" type="list">
      <formula1>'DV_Lists'!$Q$2:$Q$50</formula1>
    </dataValidation>
    <dataValidation sqref="N2:N500" showErrorMessage="1" showInputMessage="1" allowBlank="1" type="list">
      <formula1>'DV_Lists'!$F$2:$F$50</formula1>
    </dataValidation>
    <dataValidation sqref="O2:O500" showErrorMessage="1" showInputMessage="1" allowBlank="1" type="list">
      <formula1>'DV_Lists'!$R$2:$R$50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5" customWidth="1" min="5" max="5"/>
    <col width="30" customWidth="1" min="6" max="6"/>
    <col width="26" customWidth="1" min="7" max="7"/>
    <col width="20" customWidth="1" min="8" max="8"/>
    <col width="15" customWidth="1" min="9" max="9"/>
    <col width="18" customWidth="1" min="10" max="10"/>
    <col width="25" customWidth="1" min="11" max="11"/>
    <col width="32" customWidth="1" min="12" max="12"/>
    <col width="39" customWidth="1" min="13" max="13"/>
    <col width="31" customWidth="1" min="14" max="14"/>
    <col width="23" customWidth="1" min="15" max="15"/>
    <col width="18" customWidth="1" min="16" max="16"/>
    <col width="26" customWidth="1" min="17" max="17"/>
    <col width="24" customWidth="1" min="18" max="18"/>
    <col width="25" customWidth="1" min="19" max="19"/>
    <col width="25" customWidth="1" min="20" max="20"/>
    <col width="15" customWidth="1" min="21" max="21"/>
    <col width="17" customWidth="1" min="22" max="22"/>
    <col width="15" customWidth="1" min="23" max="23"/>
    <col width="19" customWidth="1" min="24" max="24"/>
    <col width="26" customWidth="1" min="25" max="25"/>
    <col width="32" customWidth="1" min="26" max="26"/>
    <col width="21" customWidth="1" min="27" max="27"/>
  </cols>
  <sheetData>
    <row r="1">
      <c r="A1" s="1" t="inlineStr">
        <is>
          <t>Mission_ID</t>
        </is>
      </c>
      <c r="B1" s="1" t="inlineStr">
        <is>
          <t>Finding_ID</t>
        </is>
      </c>
      <c r="C1" s="1" t="inlineStr">
        <is>
          <t>Related_Hunt_Lines</t>
        </is>
      </c>
      <c r="D1" s="1" t="inlineStr">
        <is>
          <t>Finding_Category</t>
        </is>
      </c>
      <c r="E1" s="1" t="inlineStr">
        <is>
          <t>Finding_Title</t>
        </is>
      </c>
      <c r="F1" s="1" t="inlineStr">
        <is>
          <t>Finding_Description_Detailed</t>
        </is>
      </c>
      <c r="G1" s="1" t="inlineStr">
        <is>
          <t>Affected_Terrain_Records</t>
        </is>
      </c>
      <c r="H1" s="1" t="inlineStr">
        <is>
          <t>Terrain_Type_MRT_C</t>
        </is>
      </c>
      <c r="I1" s="1" t="inlineStr">
        <is>
          <t>ATTCK_Tactics</t>
        </is>
      </c>
      <c r="J1" s="1" t="inlineStr">
        <is>
          <t>ATTCK_Techniques</t>
        </is>
      </c>
      <c r="K1" s="1" t="inlineStr">
        <is>
          <t>Threat_Level_Score_1to5</t>
        </is>
      </c>
      <c r="L1" s="1" t="inlineStr">
        <is>
          <t>Vulnerability_Level_Score_1to5</t>
        </is>
      </c>
      <c r="M1" s="1" t="inlineStr">
        <is>
          <t>Likelihood_of_Exploitation_Score_1to5</t>
        </is>
      </c>
      <c r="N1" s="1" t="inlineStr">
        <is>
          <t>Impact_if_Realized_Score_1to5</t>
        </is>
      </c>
      <c r="O1" s="1" t="inlineStr">
        <is>
          <t>Calculated_Risk_Index</t>
        </is>
      </c>
      <c r="P1" s="1" t="inlineStr">
        <is>
          <t>Risk_Qualitative</t>
        </is>
      </c>
      <c r="Q1" s="1" t="inlineStr">
        <is>
          <t>Tactical_Effect_Achieved</t>
        </is>
      </c>
      <c r="R1" s="1" t="inlineStr">
        <is>
          <t>Finding_MOE_Score_1to5</t>
        </is>
      </c>
      <c r="S1" s="1" t="inlineStr">
        <is>
          <t>Recommended_Action_Type</t>
        </is>
      </c>
      <c r="T1" s="1" t="inlineStr">
        <is>
          <t>Recommended_Action_Text</t>
        </is>
      </c>
      <c r="U1" s="1" t="inlineStr">
        <is>
          <t>Action_Owner</t>
        </is>
      </c>
      <c r="V1" s="1" t="inlineStr">
        <is>
          <t>Action_Due_Date</t>
        </is>
      </c>
      <c r="W1" s="1" t="inlineStr">
        <is>
          <t>Action_Status</t>
        </is>
      </c>
      <c r="X1" s="1" t="inlineStr">
        <is>
          <t>Evidence_Log_Link</t>
        </is>
      </c>
      <c r="Y1" s="1" t="inlineStr">
        <is>
          <t>Evidence_Screenshot_Link</t>
        </is>
      </c>
      <c r="Z1" s="1" t="inlineStr">
        <is>
          <t>Evidence_PCAP_or_Artifact_Link</t>
        </is>
      </c>
      <c r="AA1" s="1" t="inlineStr">
        <is>
          <t>Evidence_Other_Link</t>
        </is>
      </c>
    </row>
    <row r="2">
      <c r="O2">
        <f>ROUND(AVERAGE(K2,L2,M2,N2),0)</f>
        <v/>
      </c>
      <c r="P2">
        <f>IF(O2="","",CHOOSE(O2,"Very Low","Low","Medium","High","Very High"))</f>
        <v/>
      </c>
    </row>
  </sheetData>
  <conditionalFormatting sqref="K2:K500">
    <cfRule type="colorScale" priority="1">
      <colorScale>
        <cfvo type="num" val="1"/>
        <cfvo type="num" val="3"/>
        <cfvo type="num" val="5"/>
      </colorScale>
    </cfRule>
  </conditionalFormatting>
  <conditionalFormatting sqref="L2:L500">
    <cfRule type="colorScale" priority="2">
      <colorScale>
        <cfvo type="num" val="1"/>
        <cfvo type="num" val="3"/>
        <cfvo type="num" val="5"/>
      </colorScale>
    </cfRule>
  </conditionalFormatting>
  <conditionalFormatting sqref="M2:M500">
    <cfRule type="colorScale" priority="3">
      <colorScale>
        <cfvo type="num" val="1"/>
        <cfvo type="num" val="3"/>
        <cfvo type="num" val="5"/>
      </colorScale>
    </cfRule>
  </conditionalFormatting>
  <conditionalFormatting sqref="N2:N500">
    <cfRule type="colorScale" priority="4">
      <colorScale>
        <cfvo type="num" val="1"/>
        <cfvo type="num" val="3"/>
        <cfvo type="num" val="5"/>
      </colorScale>
    </cfRule>
  </conditionalFormatting>
  <conditionalFormatting sqref="O2:O500">
    <cfRule type="colorScale" priority="5">
      <colorScale>
        <cfvo type="num" val="1"/>
        <cfvo type="num" val="3"/>
        <cfvo type="num" val="5"/>
      </colorScale>
    </cfRule>
  </conditionalFormatting>
  <conditionalFormatting sqref="R2:R500">
    <cfRule type="colorScale" priority="6">
      <colorScale>
        <cfvo type="num" val="1"/>
        <cfvo type="num" val="3"/>
        <cfvo type="num" val="5"/>
      </colorScale>
    </cfRule>
  </conditionalFormatting>
  <dataValidations count="6">
    <dataValidation sqref="D2:D500" showErrorMessage="1" showInputMessage="1" allowBlank="1" type="list">
      <formula1>'DV_Lists'!$S$2:$S$50</formula1>
    </dataValidation>
    <dataValidation sqref="H2:H500" showErrorMessage="1" showInputMessage="1" allowBlank="1" type="list">
      <formula1>'DV_Lists'!$G$2:$G$50</formula1>
    </dataValidation>
    <dataValidation sqref="Q2:Q500" showErrorMessage="1" showInputMessage="1" allowBlank="1" type="list">
      <formula1>'DV_Lists'!$T$2:$T$50</formula1>
    </dataValidation>
    <dataValidation sqref="S2:S500" showErrorMessage="1" showInputMessage="1" allowBlank="1" type="list">
      <formula1>'DV_Lists'!$S$2:$S$50</formula1>
    </dataValidation>
    <dataValidation sqref="U2:U500" showErrorMessage="1" showInputMessage="1" allowBlank="1" type="list">
      <formula1>'DV_Lists'!$U$2:$U$50</formula1>
    </dataValidation>
    <dataValidation sqref="W2:W500" showErrorMessage="1" showInputMessage="1" allowBlank="1" type="list">
      <formula1>'DV_Lists'!$V$2:$V$50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Description</t>
        </is>
      </c>
      <c r="C1" t="inlineStr">
        <is>
          <t>Formula_or_Source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Section</t>
        </is>
      </c>
      <c r="B1" s="2" t="inlineStr">
        <is>
          <t>Content</t>
        </is>
      </c>
    </row>
    <row r="2">
      <c r="A2" t="inlineStr">
        <is>
          <t>Purpose</t>
        </is>
      </c>
      <c r="B2" t="inlineStr">
        <is>
          <t>This tracker standardizes tactical hunt operations across CPT elements. It captures mission tasking, terrain discovery, visibility assessment, hunt actions, event timelines, findings, and evidence. It enforces doctrinal standards from CWP 3-98, CWP 3-0.1, CWP 3-08, and JP 3-12.</t>
        </is>
      </c>
    </row>
    <row r="3">
      <c r="A3" t="inlineStr">
        <is>
          <t>When to Update Each Tab</t>
        </is>
      </c>
      <c r="B3" t="inlineStr">
        <is>
          <t>Mission_Intake = mission start. Terrain_Discovery = ongoing reconnaissance. Visibility_Matrix = before hunt + updates. Hunt_Lines = each hypothesis/action. Events_Timeline = every observed event. Findings_Effects = after analysis. Dashboard = Do Not Edit.</t>
        </is>
      </c>
    </row>
    <row r="4">
      <c r="A4" t="inlineStr">
        <is>
          <t>Scoring (1–5 Doctrinal Scale)</t>
        </is>
      </c>
      <c r="B4" t="inlineStr">
        <is>
          <t>1=Very Low, 2=Low, 3=Medium, 4=High, 5=Very High. Use for visibility, terrain criticality, risk scoring, event severity, MOPs, MOEs.</t>
        </is>
      </c>
    </row>
    <row r="5">
      <c r="A5" t="inlineStr">
        <is>
          <t>Evidence Handling</t>
        </is>
      </c>
      <c r="B5" t="inlineStr">
        <is>
          <t>Use links only. No embedded files. Filenames: MissionID_Element_DateTime_Description.ext. Screenshots must be CUI-safe.</t>
        </is>
      </c>
    </row>
    <row r="6">
      <c r="A6" t="inlineStr">
        <is>
          <t>Hunt Line Creation</t>
        </is>
      </c>
      <c r="B6" t="inlineStr">
        <is>
          <t>Create a hunt line when forming a hypothesis, detecting suspicious behavior, exploring a TTP, or reconning new terrain.</t>
        </is>
      </c>
    </row>
    <row r="7">
      <c r="A7" t="inlineStr">
        <is>
          <t>Logging Events</t>
        </is>
      </c>
      <c r="B7" t="inlineStr">
        <is>
          <t>Log any timestamped observation: auth anomalies, network connections, process events, alerts, admin actions, customer actions.</t>
        </is>
      </c>
    </row>
    <row r="8">
      <c r="A8" t="inlineStr">
        <is>
          <t>Promoting Events to Findings</t>
        </is>
      </c>
      <c r="B8" t="inlineStr">
        <is>
          <t>Promote when enough evidence exists to describe impact, relevance to terrain, TTP alignment, or mission implications.</t>
        </is>
      </c>
    </row>
    <row r="9">
      <c r="A9" t="inlineStr">
        <is>
          <t>QC Requirements</t>
        </is>
      </c>
      <c r="B9" t="inlineStr">
        <is>
          <t>Team Lead verifies completeness, scoring accuracy, evidence validity, dropdown use, and classification compliance. Daily for multi-day ops.</t>
        </is>
      </c>
    </row>
    <row r="10">
      <c r="A10" t="inlineStr">
        <is>
          <t>Naming Conventions</t>
        </is>
      </c>
      <c r="B10" t="inlineStr">
        <is>
          <t>Mission_ID = C10F-HUNT-YYYY-XXX. HL-###. EVT-###. TERR-###. F-###.</t>
        </is>
      </c>
    </row>
    <row r="11">
      <c r="A11" t="inlineStr">
        <is>
          <t>End-of-Mission Requirements</t>
        </is>
      </c>
      <c r="B11" t="inlineStr">
        <is>
          <t>All hunt lines closed, findings finalized and scored, visibility matrix updated, terrain mapped, timeline finalized, evidence archived.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Supported_Command</t>
        </is>
      </c>
      <c r="C1" t="inlineStr">
        <is>
          <t>Tasking_Source</t>
        </is>
      </c>
      <c r="D1" t="inlineStr">
        <is>
          <t>Tasking_Type</t>
        </is>
      </c>
      <c r="E1" t="inlineStr">
        <is>
          <t>Mission_Category_JP3_12</t>
        </is>
      </c>
      <c r="F1" t="inlineStr">
        <is>
          <t>Terrain_Layer</t>
        </is>
      </c>
      <c r="G1" t="inlineStr">
        <is>
          <t>Terrain_Type_MRT_C</t>
        </is>
      </c>
      <c r="H1" t="inlineStr">
        <is>
          <t>Known_to_Customer</t>
        </is>
      </c>
      <c r="I1" t="inlineStr">
        <is>
          <t>Access_Type</t>
        </is>
      </c>
      <c r="J1" t="inlineStr">
        <is>
          <t>Cross_Domain_Dependency</t>
        </is>
      </c>
      <c r="K1" t="inlineStr">
        <is>
          <t>Data_Source_Available</t>
        </is>
      </c>
      <c r="L1" t="inlineStr">
        <is>
          <t>Quality_Levels</t>
        </is>
      </c>
      <c r="M1" t="inlineStr">
        <is>
          <t>Coverage_Scope</t>
        </is>
      </c>
      <c r="N1" t="inlineStr">
        <is>
          <t>Access_Restrictions</t>
        </is>
      </c>
      <c r="O1" t="inlineStr">
        <is>
          <t>Hunt_Mode</t>
        </is>
      </c>
      <c r="P1" t="inlineStr">
        <is>
          <t>Recon_Type</t>
        </is>
      </c>
      <c r="Q1" t="inlineStr">
        <is>
          <t>Event_Type</t>
        </is>
      </c>
      <c r="R1" t="inlineStr">
        <is>
          <t>Disposition</t>
        </is>
      </c>
      <c r="S1" t="inlineStr">
        <is>
          <t>Finding_Category</t>
        </is>
      </c>
      <c r="T1" t="inlineStr">
        <is>
          <t>Tactical_Effect</t>
        </is>
      </c>
      <c r="U1" t="inlineStr">
        <is>
          <t>Action_Owner</t>
        </is>
      </c>
      <c r="V1" t="inlineStr">
        <is>
          <t>Action_Status</t>
        </is>
      </c>
      <c r="W1" t="inlineStr">
        <is>
          <t>CCIR_Received</t>
        </is>
      </c>
      <c r="X1" t="inlineStr">
        <is>
          <t>Reporting_Cadence</t>
        </is>
      </c>
      <c r="Y1" t="inlineStr">
        <is>
          <t>Classification_Level</t>
        </is>
      </c>
    </row>
    <row r="2">
      <c r="B2" t="inlineStr">
        <is>
          <t>C10F</t>
        </is>
      </c>
      <c r="C2" t="inlineStr">
        <is>
          <t>C10F</t>
        </is>
      </c>
      <c r="D2" t="inlineStr">
        <is>
          <t>Proactive Hunt</t>
        </is>
      </c>
      <c r="E2" t="inlineStr">
        <is>
          <t>DCO-ID</t>
        </is>
      </c>
      <c r="F2" t="inlineStr">
        <is>
          <t>Physical</t>
        </is>
      </c>
      <c r="G2" t="inlineStr">
        <is>
          <t>KT-C</t>
        </is>
      </c>
      <c r="H2" t="inlineStr">
        <is>
          <t>Yes</t>
        </is>
      </c>
      <c r="I2" t="inlineStr">
        <is>
          <t>Onsite</t>
        </is>
      </c>
      <c r="J2" t="inlineStr">
        <is>
          <t>None</t>
        </is>
      </c>
      <c r="K2" t="inlineStr">
        <is>
          <t>Yes</t>
        </is>
      </c>
      <c r="L2" t="inlineStr">
        <is>
          <t>Very Low</t>
        </is>
      </c>
      <c r="M2" t="inlineStr">
        <is>
          <t>All Critical Assets</t>
        </is>
      </c>
      <c r="N2" t="inlineStr">
        <is>
          <t>None</t>
        </is>
      </c>
      <c r="O2" t="inlineStr">
        <is>
          <t>Pull (Proactive)</t>
        </is>
      </c>
      <c r="P2" t="inlineStr">
        <is>
          <t>Area</t>
        </is>
      </c>
      <c r="Q2" t="inlineStr">
        <is>
          <t>Auth</t>
        </is>
      </c>
      <c r="R2" t="inlineStr">
        <is>
          <t>Confirmed Malicious</t>
        </is>
      </c>
      <c r="S2" t="inlineStr">
        <is>
          <t>Confirmed Malicious</t>
        </is>
      </c>
      <c r="T2" t="inlineStr">
        <is>
          <t>Discover</t>
        </is>
      </c>
      <c r="U2" t="inlineStr">
        <is>
          <t>Customer</t>
        </is>
      </c>
      <c r="V2" t="inlineStr">
        <is>
          <t>Open</t>
        </is>
      </c>
      <c r="W2" t="inlineStr">
        <is>
          <t>Yes</t>
        </is>
      </c>
      <c r="X2" t="inlineStr">
        <is>
          <t>Daily</t>
        </is>
      </c>
      <c r="Y2" t="inlineStr">
        <is>
          <t>U</t>
        </is>
      </c>
    </row>
    <row r="3">
      <c r="B3" t="inlineStr">
        <is>
          <t>USCYBERCOM</t>
        </is>
      </c>
      <c r="C3" t="inlineStr">
        <is>
          <t>JFHQ-C</t>
        </is>
      </c>
      <c r="D3" t="inlineStr">
        <is>
          <t>RFI</t>
        </is>
      </c>
      <c r="E3" t="inlineStr">
        <is>
          <t>DCO-RA</t>
        </is>
      </c>
      <c r="F3" t="inlineStr">
        <is>
          <t>Logical</t>
        </is>
      </c>
      <c r="G3" t="inlineStr">
        <is>
          <t>CT-C</t>
        </is>
      </c>
      <c r="H3" t="inlineStr">
        <is>
          <t>No</t>
        </is>
      </c>
      <c r="I3" t="inlineStr">
        <is>
          <t>Remote</t>
        </is>
      </c>
      <c r="J3" t="inlineStr">
        <is>
          <t>Cloud</t>
        </is>
      </c>
      <c r="K3" t="inlineStr">
        <is>
          <t>No</t>
        </is>
      </c>
      <c r="L3" t="inlineStr">
        <is>
          <t>Low</t>
        </is>
      </c>
      <c r="M3" t="inlineStr">
        <is>
          <t>Most Critical Assets</t>
        </is>
      </c>
      <c r="N3" t="inlineStr">
        <is>
          <t>Read Only</t>
        </is>
      </c>
      <c r="O3" t="inlineStr">
        <is>
          <t>Pursuit (Reactive)</t>
        </is>
      </c>
      <c r="P3" t="inlineStr">
        <is>
          <t>Zone</t>
        </is>
      </c>
      <c r="Q3" t="inlineStr">
        <is>
          <t>Process</t>
        </is>
      </c>
      <c r="R3" t="inlineStr">
        <is>
          <t>Suspicious</t>
        </is>
      </c>
      <c r="S3" t="inlineStr">
        <is>
          <t>Suspicious Activity</t>
        </is>
      </c>
      <c r="T3" t="inlineStr">
        <is>
          <t>Deny</t>
        </is>
      </c>
      <c r="U3" t="inlineStr">
        <is>
          <t>CPT</t>
        </is>
      </c>
      <c r="V3" t="inlineStr">
        <is>
          <t>In Progress</t>
        </is>
      </c>
      <c r="W3" t="inlineStr">
        <is>
          <t>No</t>
        </is>
      </c>
      <c r="X3" t="inlineStr">
        <is>
          <t>Twice Weekly</t>
        </is>
      </c>
      <c r="Y3" t="inlineStr">
        <is>
          <t>CUI</t>
        </is>
      </c>
    </row>
    <row r="4">
      <c r="B4" t="inlineStr">
        <is>
          <t>JFHQ-C</t>
        </is>
      </c>
      <c r="C4" t="inlineStr">
        <is>
          <t>SOC</t>
        </is>
      </c>
      <c r="D4" t="inlineStr">
        <is>
          <t>Incident Support</t>
        </is>
      </c>
      <c r="E4" t="inlineStr">
        <is>
          <t>DoDIN Ops</t>
        </is>
      </c>
      <c r="F4" t="inlineStr">
        <is>
          <t>Persona</t>
        </is>
      </c>
      <c r="G4" t="inlineStr">
        <is>
          <t>DT-C</t>
        </is>
      </c>
      <c r="H4" t="inlineStr">
        <is>
          <t>Partially Known</t>
        </is>
      </c>
      <c r="I4" t="inlineStr">
        <is>
          <t>Cloud Console</t>
        </is>
      </c>
      <c r="J4" t="inlineStr">
        <is>
          <t>Partner Network</t>
        </is>
      </c>
      <c r="K4" t="inlineStr">
        <is>
          <t>Partial</t>
        </is>
      </c>
      <c r="L4" t="inlineStr">
        <is>
          <t>Medium</t>
        </is>
      </c>
      <c r="M4" t="inlineStr">
        <is>
          <t>Some Critical Assets</t>
        </is>
      </c>
      <c r="N4" t="inlineStr">
        <is>
          <t>Delayed Access</t>
        </is>
      </c>
      <c r="P4" t="inlineStr">
        <is>
          <t>Point</t>
        </is>
      </c>
      <c r="Q4" t="inlineStr">
        <is>
          <t>Network</t>
        </is>
      </c>
      <c r="R4" t="inlineStr">
        <is>
          <t>Benign</t>
        </is>
      </c>
      <c r="S4" t="inlineStr">
        <is>
          <t>Benign Explanation</t>
        </is>
      </c>
      <c r="T4" t="inlineStr">
        <is>
          <t>Disrupt</t>
        </is>
      </c>
      <c r="U4" t="inlineStr">
        <is>
          <t>Service Component</t>
        </is>
      </c>
      <c r="V4" t="inlineStr">
        <is>
          <t>Mitigated</t>
        </is>
      </c>
      <c r="X4" t="inlineStr">
        <is>
          <t>Weekly</t>
        </is>
      </c>
      <c r="Y4" t="inlineStr">
        <is>
          <t>Secret</t>
        </is>
      </c>
    </row>
    <row r="5">
      <c r="B5" t="inlineStr">
        <is>
          <t>Service Component</t>
        </is>
      </c>
      <c r="C5" t="inlineStr">
        <is>
          <t>Customer Organization</t>
        </is>
      </c>
      <c r="D5" t="inlineStr">
        <is>
          <t>Terrain Recon</t>
        </is>
      </c>
      <c r="E5" t="inlineStr">
        <is>
          <t>ISR in Cyberspace</t>
        </is>
      </c>
      <c r="F5" t="inlineStr">
        <is>
          <t>Other</t>
        </is>
      </c>
      <c r="G5" t="inlineStr">
        <is>
          <t>Unknown</t>
        </is>
      </c>
      <c r="I5" t="inlineStr">
        <is>
          <t>Proxy-only</t>
        </is>
      </c>
      <c r="J5" t="inlineStr">
        <is>
          <t>OT/ICS</t>
        </is>
      </c>
      <c r="L5" t="inlineStr">
        <is>
          <t>High</t>
        </is>
      </c>
      <c r="M5" t="inlineStr">
        <is>
          <t>Non-Critical Only</t>
        </is>
      </c>
      <c r="N5" t="inlineStr">
        <is>
          <t>Approval Required</t>
        </is>
      </c>
      <c r="P5" t="inlineStr">
        <is>
          <t>Route</t>
        </is>
      </c>
      <c r="Q5" t="inlineStr">
        <is>
          <t>File</t>
        </is>
      </c>
      <c r="R5" t="inlineStr">
        <is>
          <t>Unknown</t>
        </is>
      </c>
      <c r="S5" t="inlineStr">
        <is>
          <t>Visibility Gap</t>
        </is>
      </c>
      <c r="T5" t="inlineStr">
        <is>
          <t>Degrade</t>
        </is>
      </c>
      <c r="U5" t="inlineStr">
        <is>
          <t>Other</t>
        </is>
      </c>
      <c r="V5" t="inlineStr">
        <is>
          <t>Closed</t>
        </is>
      </c>
      <c r="X5" t="inlineStr">
        <is>
          <t>End of Mission</t>
        </is>
      </c>
      <c r="Y5" t="inlineStr">
        <is>
          <t>Other</t>
        </is>
      </c>
    </row>
    <row r="6">
      <c r="B6" t="inlineStr">
        <is>
          <t>Other</t>
        </is>
      </c>
      <c r="C6" t="inlineStr">
        <is>
          <t>Intel Channel</t>
        </is>
      </c>
      <c r="D6" t="inlineStr">
        <is>
          <t>Other</t>
        </is>
      </c>
      <c r="E6" t="inlineStr">
        <is>
          <t>Other</t>
        </is>
      </c>
      <c r="G6" t="inlineStr">
        <is>
          <t>Other</t>
        </is>
      </c>
      <c r="I6" t="inlineStr">
        <is>
          <t>Other</t>
        </is>
      </c>
      <c r="J6" t="inlineStr">
        <is>
          <t>Other</t>
        </is>
      </c>
      <c r="L6" t="inlineStr">
        <is>
          <t>Very High</t>
        </is>
      </c>
      <c r="M6" t="inlineStr">
        <is>
          <t>Unknown</t>
        </is>
      </c>
      <c r="N6" t="inlineStr">
        <is>
          <t>Other</t>
        </is>
      </c>
      <c r="P6" t="inlineStr">
        <is>
          <t>Other</t>
        </is>
      </c>
      <c r="Q6" t="inlineStr">
        <is>
          <t>Alert</t>
        </is>
      </c>
      <c r="R6" t="inlineStr">
        <is>
          <t>Visibility Gap</t>
        </is>
      </c>
      <c r="S6" t="inlineStr">
        <is>
          <t>Terrain Discovery</t>
        </is>
      </c>
      <c r="T6" t="inlineStr">
        <is>
          <t>Illuminate</t>
        </is>
      </c>
      <c r="V6" t="inlineStr">
        <is>
          <t>Deferred</t>
        </is>
      </c>
      <c r="X6" t="inlineStr">
        <is>
          <t>Other</t>
        </is>
      </c>
    </row>
    <row r="7">
      <c r="C7" t="inlineStr">
        <is>
          <t>Other</t>
        </is>
      </c>
      <c r="Q7" t="inlineStr">
        <is>
          <t>Admin Action</t>
        </is>
      </c>
      <c r="S7" t="inlineStr">
        <is>
          <t>Misconfiguration</t>
        </is>
      </c>
      <c r="T7" t="inlineStr">
        <is>
          <t>Other</t>
        </is>
      </c>
    </row>
    <row r="8">
      <c r="Q8" t="inlineStr">
        <is>
          <t>Customer Action</t>
        </is>
      </c>
      <c r="S8" t="inlineStr">
        <is>
          <t>Other</t>
        </is>
      </c>
    </row>
    <row r="9">
      <c r="Q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2025-12-06T16:48:27Z</dcterms:created>
  <dcterms:modified xmlns:dcterms="http://purl.org/dc/terms/" xmlns:xsi="http://www.w3.org/2001/XMLSchema-instance" xsi:type="dcterms:W3CDTF">2025-12-06T16:48:27Z</dcterms:modified>
</cp:coreProperties>
</file>